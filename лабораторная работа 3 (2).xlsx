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6271" windowHeight="4416" activeTab="1"/>
  </bookViews>
  <sheets>
    <sheet name="Лист1" sheetId="2" r:id="rId1"/>
    <sheet name="Экзаменационная ведомость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<sst xmlns="http://schemas.openxmlformats.org/spreadsheetml/2006/main" count="36" uniqueCount="34">
  <si>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Ф.И.О. студента</t>
  </si>
  <si>
    <t>История России</t>
  </si>
  <si>
    <t>Английский язык</t>
  </si>
  <si>
    <t>Математический анализ</t>
  </si>
  <si>
    <t>Линейная алгебра</t>
  </si>
  <si>
    <t>Средний балл</t>
  </si>
  <si>
    <t>Стипендия</t>
  </si>
  <si>
    <t>Средний балл равен 5</t>
  </si>
  <si>
    <t>Алавердян Артем Владимирович</t>
  </si>
  <si>
    <t>надбавка 50%-150</t>
  </si>
  <si>
    <t>Алиев Константин Кэмалович</t>
  </si>
  <si>
    <t>Средний балл меньше 5</t>
  </si>
  <si>
    <t>Амелько Григорий Александрович</t>
  </si>
  <si>
    <t>минимальная стипендия-100</t>
  </si>
  <si>
    <t xml:space="preserve">Бондарев Денис Парвизович </t>
  </si>
  <si>
    <t>Галушко Мария Евгеньевна</t>
  </si>
  <si>
    <t>Оценка</t>
  </si>
  <si>
    <t>Гнатюк Захар Юрьевич</t>
  </si>
  <si>
    <t>Горкин Александр Валерьевич</t>
  </si>
  <si>
    <t>Емельянов Родион Андреевич</t>
  </si>
  <si>
    <t>Жидков Олег Романович</t>
  </si>
  <si>
    <t>Картышкин Глеб Александрович</t>
  </si>
  <si>
    <t>Кобозев Денис Алексеевич</t>
  </si>
  <si>
    <t>Колядич Виолетта Дмитриевна</t>
  </si>
  <si>
    <t>Лихачев Алексей Аленавич</t>
  </si>
  <si>
    <t>Миротин Никита Михайлович</t>
  </si>
  <si>
    <t>Николаенко Александр Сергеевич</t>
  </si>
  <si>
    <t>Резников Артем Игоревич</t>
  </si>
  <si>
    <t>Сопкина Софья Ивановна</t>
  </si>
  <si>
    <t>Тарасов Максим Александрович</t>
  </si>
  <si>
    <t>Ткаченко Егор Дмитриевич</t>
  </si>
  <si>
    <t>Чумакова Елизавета Олеговна</t>
  </si>
  <si>
    <t>Шведов Иван Михайлович</t>
  </si>
  <si>
    <t>Шкуринский Владислав Игоревич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</si>
</sst>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204"/>
      <scheme val="minor"/>
    </font>
    <font>
      <sz val="9"/>
      <color rgb="FF000000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 оценок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"оценки"</c:f>
              <c:strCache>
                <c:ptCount val="1"/>
                <c:pt idx="0">
                  <c:v>оценки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0"/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a56e91b8-e65b-4cb1-a771-08afe33fdf69}" type="CATEGORYNAME">
                      <a:t>[CATEGORY NAME]</a:t>
                    </a:fld>
                    <a:endParaRPr 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'Экзаменационная ведомость'!$K$10:$N$10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"количество"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0"/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'Экзаменационная ведомость'!$K$11:$N$11</c:f>
              <c:numCache>
                <c:formatCode>General</c:formatCode>
                <c:ptCount val="4"/>
                <c:pt idx="0">
                  <c:v>46</c:v>
                </c:pt>
                <c:pt idx="1">
                  <c:v>42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8e7cc1d-cd15-4b46-8784-61981766d4e8}"/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323850</xdr:colOff>
      <xdr:row>11</xdr:row>
      <xdr:rowOff>57150</xdr:rowOff>
    </xdr:from>
    <xdr:to>
      <xdr:col>14</xdr:col>
      <xdr:colOff>9525</xdr:colOff>
      <xdr:row>25</xdr:row>
      <xdr:rowOff>133350</xdr:rowOff>
    </xdr:to>
    <xdr:graphicFrame>
      <xdr:nvGraphicFramePr>
        <xdr:cNvPr id="4" name="Диаграмма 3"/>
        <xdr:cNvGraphicFramePr/>
      </xdr:nvGraphicFramePr>
      <xdr:xfrm>
        <a:off x="9512300" y="2068830"/>
        <a:ext cx="466280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9" defaultRowHeight="14.4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S19" sqref="S19"/>
    </sheetView>
  </sheetViews>
  <sheetFormatPr defaultColWidth="9" defaultRowHeight="14.4"/>
  <cols>
    <col min="1" max="1" width="30.4259259259259" customWidth="1"/>
    <col min="2" max="2" width="16.1388888888889" customWidth="1"/>
    <col min="3" max="3" width="15.8518518518519" customWidth="1"/>
    <col min="4" max="4" width="21.8518518518519" customWidth="1"/>
    <col min="5" max="5" width="16.712962962963" customWidth="1"/>
    <col min="6" max="6" width="13.287037037037" customWidth="1"/>
    <col min="7" max="7" width="10.712962962963" customWidth="1"/>
    <col min="12" max="12" width="27.574074074074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7</v>
      </c>
    </row>
    <row r="2" spans="1:12">
      <c r="A2" t="s">
        <v>8</v>
      </c>
      <c r="B2">
        <v>5</v>
      </c>
      <c r="C2">
        <v>5</v>
      </c>
      <c r="D2">
        <v>4</v>
      </c>
      <c r="E2">
        <v>5</v>
      </c>
      <c r="F2">
        <f>AVERAGE(B2:E2)</f>
        <v>4.75</v>
      </c>
      <c r="G2">
        <f>IF(F2=5,150,100)</f>
        <v>100</v>
      </c>
      <c r="L2" t="s">
        <v>9</v>
      </c>
    </row>
    <row r="3" spans="1:12">
      <c r="A3" t="s">
        <v>10</v>
      </c>
      <c r="B3">
        <v>5</v>
      </c>
      <c r="C3">
        <v>5</v>
      </c>
      <c r="D3">
        <v>4</v>
      </c>
      <c r="E3">
        <v>5</v>
      </c>
      <c r="F3">
        <f t="shared" ref="F3:F25" si="0">AVERAGE(B3:E3)</f>
        <v>4.75</v>
      </c>
      <c r="G3">
        <f t="shared" ref="G3:G25" si="1">IF(F3=5,150,100)</f>
        <v>100</v>
      </c>
      <c r="L3" t="s">
        <v>11</v>
      </c>
    </row>
    <row r="4" spans="1:12">
      <c r="A4" t="s">
        <v>12</v>
      </c>
      <c r="B4">
        <v>3</v>
      </c>
      <c r="C4">
        <v>4</v>
      </c>
      <c r="D4">
        <v>4</v>
      </c>
      <c r="E4">
        <v>5</v>
      </c>
      <c r="F4">
        <f t="shared" si="0"/>
        <v>4</v>
      </c>
      <c r="G4">
        <f t="shared" si="1"/>
        <v>100</v>
      </c>
      <c r="L4" t="s">
        <v>13</v>
      </c>
    </row>
    <row r="5" spans="1:7">
      <c r="A5" t="s">
        <v>14</v>
      </c>
      <c r="B5">
        <v>4</v>
      </c>
      <c r="C5">
        <v>4</v>
      </c>
      <c r="D5">
        <v>5</v>
      </c>
      <c r="E5">
        <v>5</v>
      </c>
      <c r="F5">
        <f t="shared" si="0"/>
        <v>4.5</v>
      </c>
      <c r="G5">
        <f t="shared" si="1"/>
        <v>100</v>
      </c>
    </row>
    <row r="6" spans="1:12">
      <c r="A6" t="s">
        <v>15</v>
      </c>
      <c r="B6">
        <v>4</v>
      </c>
      <c r="C6">
        <v>4</v>
      </c>
      <c r="D6">
        <v>5</v>
      </c>
      <c r="E6">
        <v>5</v>
      </c>
      <c r="F6">
        <f t="shared" si="0"/>
        <v>4.5</v>
      </c>
      <c r="G6">
        <f t="shared" si="1"/>
        <v>100</v>
      </c>
      <c r="L6" t="s">
        <v>16</v>
      </c>
    </row>
    <row r="7" spans="1:12">
      <c r="A7" t="s">
        <v>17</v>
      </c>
      <c r="B7">
        <v>5</v>
      </c>
      <c r="C7">
        <v>4</v>
      </c>
      <c r="D7">
        <v>4</v>
      </c>
      <c r="E7">
        <v>5</v>
      </c>
      <c r="F7">
        <f t="shared" si="0"/>
        <v>4.5</v>
      </c>
      <c r="G7">
        <f t="shared" si="1"/>
        <v>100</v>
      </c>
      <c r="L7">
        <v>5</v>
      </c>
    </row>
    <row r="8" spans="1:7">
      <c r="A8" t="s">
        <v>18</v>
      </c>
      <c r="B8">
        <v>3</v>
      </c>
      <c r="C8">
        <v>4</v>
      </c>
      <c r="D8">
        <v>4</v>
      </c>
      <c r="E8">
        <v>5</v>
      </c>
      <c r="F8">
        <f t="shared" si="0"/>
        <v>4</v>
      </c>
      <c r="G8">
        <f t="shared" si="1"/>
        <v>100</v>
      </c>
    </row>
    <row r="9" spans="1:7">
      <c r="A9" t="s">
        <v>19</v>
      </c>
      <c r="B9">
        <v>2</v>
      </c>
      <c r="C9">
        <v>3</v>
      </c>
      <c r="D9">
        <v>5</v>
      </c>
      <c r="E9">
        <v>3</v>
      </c>
      <c r="F9">
        <f t="shared" si="0"/>
        <v>3.25</v>
      </c>
      <c r="G9">
        <f t="shared" si="1"/>
        <v>100</v>
      </c>
    </row>
    <row r="10" spans="1:14">
      <c r="A10" t="s">
        <v>20</v>
      </c>
      <c r="B10">
        <v>4</v>
      </c>
      <c r="C10">
        <v>4</v>
      </c>
      <c r="D10">
        <v>4</v>
      </c>
      <c r="E10">
        <v>5</v>
      </c>
      <c r="F10">
        <f t="shared" si="0"/>
        <v>4.25</v>
      </c>
      <c r="G10">
        <f t="shared" si="1"/>
        <v>100</v>
      </c>
      <c r="K10">
        <v>5</v>
      </c>
      <c r="L10">
        <v>4</v>
      </c>
      <c r="M10">
        <v>3</v>
      </c>
      <c r="N10">
        <v>2</v>
      </c>
    </row>
    <row r="11" spans="1:14">
      <c r="A11" s="2" t="s">
        <v>21</v>
      </c>
      <c r="B11">
        <v>5</v>
      </c>
      <c r="C11">
        <v>4</v>
      </c>
      <c r="D11">
        <v>4</v>
      </c>
      <c r="E11">
        <v>4</v>
      </c>
      <c r="F11">
        <f t="shared" si="0"/>
        <v>4.25</v>
      </c>
      <c r="G11">
        <f t="shared" si="1"/>
        <v>100</v>
      </c>
      <c r="K11">
        <f>COUNTIF(B2:E25,5)</f>
        <v>46</v>
      </c>
      <c r="L11">
        <f>COUNTIF($B$2:$E$25,4)</f>
        <v>42</v>
      </c>
      <c r="M11">
        <f>COUNTIF($B$2:$E$25,3)</f>
        <v>7</v>
      </c>
      <c r="N11">
        <f>COUNTIF($B$2:$E$25,2)</f>
        <v>1</v>
      </c>
    </row>
    <row r="12" spans="1:7">
      <c r="A12" s="2" t="s">
        <v>22</v>
      </c>
      <c r="B12">
        <v>5</v>
      </c>
      <c r="C12">
        <v>5</v>
      </c>
      <c r="D12">
        <v>4</v>
      </c>
      <c r="E12">
        <v>4</v>
      </c>
      <c r="F12">
        <f t="shared" si="0"/>
        <v>4.5</v>
      </c>
      <c r="G12">
        <f t="shared" si="1"/>
        <v>100</v>
      </c>
    </row>
    <row r="13" spans="1:7">
      <c r="A13" s="2" t="s">
        <v>23</v>
      </c>
      <c r="B13">
        <v>4</v>
      </c>
      <c r="C13">
        <v>5</v>
      </c>
      <c r="D13">
        <v>4</v>
      </c>
      <c r="E13">
        <v>4</v>
      </c>
      <c r="F13">
        <f t="shared" si="0"/>
        <v>4.25</v>
      </c>
      <c r="G13">
        <f t="shared" si="1"/>
        <v>100</v>
      </c>
    </row>
    <row r="14" spans="1:7">
      <c r="A14" s="2" t="s">
        <v>24</v>
      </c>
      <c r="B14">
        <v>4</v>
      </c>
      <c r="C14">
        <v>5</v>
      </c>
      <c r="D14">
        <v>4</v>
      </c>
      <c r="E14">
        <v>5</v>
      </c>
      <c r="F14">
        <f t="shared" si="0"/>
        <v>4.5</v>
      </c>
      <c r="G14">
        <f t="shared" si="1"/>
        <v>100</v>
      </c>
    </row>
    <row r="15" spans="1:7">
      <c r="A15" s="2" t="s">
        <v>25</v>
      </c>
      <c r="B15">
        <v>3</v>
      </c>
      <c r="C15">
        <v>5</v>
      </c>
      <c r="D15">
        <v>5</v>
      </c>
      <c r="E15">
        <v>3</v>
      </c>
      <c r="F15">
        <f t="shared" si="0"/>
        <v>4</v>
      </c>
      <c r="G15">
        <f t="shared" si="1"/>
        <v>100</v>
      </c>
    </row>
    <row r="16" spans="1:7">
      <c r="A16" s="2" t="s">
        <v>26</v>
      </c>
      <c r="B16">
        <v>5</v>
      </c>
      <c r="C16">
        <v>5</v>
      </c>
      <c r="D16">
        <v>5</v>
      </c>
      <c r="E16">
        <v>5</v>
      </c>
      <c r="F16">
        <f t="shared" si="0"/>
        <v>5</v>
      </c>
      <c r="G16">
        <f t="shared" si="1"/>
        <v>150</v>
      </c>
    </row>
    <row r="17" s="1" customFormat="1" spans="1:7">
      <c r="A17" s="2" t="s">
        <v>27</v>
      </c>
      <c r="B17" s="1">
        <v>4</v>
      </c>
      <c r="C17" s="1">
        <v>5</v>
      </c>
      <c r="D17" s="1">
        <v>5</v>
      </c>
      <c r="E17" s="1">
        <v>5</v>
      </c>
      <c r="F17">
        <f t="shared" si="0"/>
        <v>4.75</v>
      </c>
      <c r="G17">
        <f t="shared" si="1"/>
        <v>100</v>
      </c>
    </row>
    <row r="18" spans="1:7">
      <c r="A18" s="2" t="s">
        <v>28</v>
      </c>
      <c r="B18" s="1">
        <v>5</v>
      </c>
      <c r="C18" s="1">
        <v>5</v>
      </c>
      <c r="D18" s="1">
        <v>5</v>
      </c>
      <c r="E18" s="1">
        <v>5</v>
      </c>
      <c r="F18">
        <f t="shared" si="0"/>
        <v>5</v>
      </c>
      <c r="G18">
        <f t="shared" si="1"/>
        <v>150</v>
      </c>
    </row>
    <row r="19" spans="1:7">
      <c r="A19" s="2" t="s">
        <v>29</v>
      </c>
      <c r="B19" s="1">
        <v>4</v>
      </c>
      <c r="C19" s="1">
        <v>5</v>
      </c>
      <c r="D19" s="1">
        <v>4</v>
      </c>
      <c r="E19" s="1">
        <v>4</v>
      </c>
      <c r="F19">
        <f t="shared" si="0"/>
        <v>4.25</v>
      </c>
      <c r="G19">
        <f t="shared" si="1"/>
        <v>100</v>
      </c>
    </row>
    <row r="20" spans="1:7">
      <c r="A20" s="2" t="s">
        <v>29</v>
      </c>
      <c r="B20" s="1">
        <v>3</v>
      </c>
      <c r="C20" s="1">
        <v>4</v>
      </c>
      <c r="D20" s="1">
        <v>5</v>
      </c>
      <c r="E20" s="1">
        <v>4</v>
      </c>
      <c r="F20">
        <f t="shared" si="0"/>
        <v>4</v>
      </c>
      <c r="G20">
        <f t="shared" si="1"/>
        <v>100</v>
      </c>
    </row>
    <row r="21" spans="1:7">
      <c r="A21" s="2" t="s">
        <v>30</v>
      </c>
      <c r="B21" s="1">
        <v>5</v>
      </c>
      <c r="C21" s="1">
        <v>4</v>
      </c>
      <c r="D21" s="1">
        <v>5</v>
      </c>
      <c r="E21" s="1">
        <v>5</v>
      </c>
      <c r="F21">
        <f t="shared" si="0"/>
        <v>4.75</v>
      </c>
      <c r="G21">
        <f t="shared" si="1"/>
        <v>100</v>
      </c>
    </row>
    <row r="22" spans="1:7">
      <c r="A22" s="2" t="s">
        <v>27</v>
      </c>
      <c r="B22" s="1">
        <v>5</v>
      </c>
      <c r="C22" s="1">
        <v>4</v>
      </c>
      <c r="D22" s="1">
        <v>4</v>
      </c>
      <c r="E22" s="1">
        <v>4</v>
      </c>
      <c r="F22">
        <f t="shared" si="0"/>
        <v>4.25</v>
      </c>
      <c r="G22">
        <f t="shared" si="1"/>
        <v>100</v>
      </c>
    </row>
    <row r="23" spans="1:7">
      <c r="A23" s="2" t="s">
        <v>31</v>
      </c>
      <c r="B23" s="1">
        <v>5</v>
      </c>
      <c r="C23" s="1">
        <v>5</v>
      </c>
      <c r="D23" s="1">
        <v>4</v>
      </c>
      <c r="E23" s="1">
        <v>4</v>
      </c>
      <c r="F23">
        <f t="shared" si="0"/>
        <v>4.5</v>
      </c>
      <c r="G23">
        <f t="shared" si="1"/>
        <v>100</v>
      </c>
    </row>
    <row r="24" spans="1:7">
      <c r="A24" s="2" t="s">
        <v>32</v>
      </c>
      <c r="B24" s="1">
        <v>4</v>
      </c>
      <c r="C24" s="1">
        <v>4</v>
      </c>
      <c r="D24" s="1">
        <v>4</v>
      </c>
      <c r="E24" s="1">
        <v>4</v>
      </c>
      <c r="F24">
        <f t="shared" si="0"/>
        <v>4</v>
      </c>
      <c r="G24">
        <f t="shared" si="1"/>
        <v>100</v>
      </c>
    </row>
    <row r="25" spans="1:7">
      <c r="A25" s="2" t="s">
        <v>33</v>
      </c>
      <c r="B25" s="1">
        <v>5</v>
      </c>
      <c r="C25" s="1">
        <v>5</v>
      </c>
      <c r="D25" s="1">
        <v>4</v>
      </c>
      <c r="E25" s="1">
        <v>5</v>
      </c>
      <c r="F25">
        <f t="shared" si="0"/>
        <v>4.75</v>
      </c>
      <c r="G25">
        <f t="shared" si="1"/>
        <v>100</v>
      </c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Экзаменационная ведомость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2025-11-09T14:16:00Z</dcterms:created>
  <dcterms:modified xsi:type="dcterms:W3CDTF">2025-11-13T18:15:16Z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72F98C0F359C4B029442709D0E6C42BB_13</vt:lpwstr>
  </property>
  <property fmtid="{D5CDD505-2E9C-101B-9397-08002B2CF9AE}" pid="3" name="KSOProductBuildVer">
    <vt:lpwstr>1049-12.2.0.23155</vt:lpwstr>
  </property>
</Properties>
</file>